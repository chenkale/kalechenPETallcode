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Nuno2\Current Work\2024\TPPT Project Austin\20240727 NEMA-like Spatial Resolution\"/>
    </mc:Choice>
  </mc:AlternateContent>
  <bookViews>
    <workbookView xWindow="0" yWindow="0" windowWidth="28800" windowHeight="12330"/>
  </bookViews>
  <sheets>
    <sheet name="results" sheetId="1" r:id="rId1"/>
  </sheets>
  <calcPr calcId="0"/>
</workbook>
</file>

<file path=xl/calcChain.xml><?xml version="1.0" encoding="utf-8"?>
<calcChain xmlns="http://schemas.openxmlformats.org/spreadsheetml/2006/main">
  <c r="N3" i="1" l="1"/>
  <c r="O3" i="1"/>
  <c r="P3" i="1"/>
  <c r="N4" i="1"/>
  <c r="O4" i="1"/>
  <c r="P4" i="1"/>
  <c r="N5" i="1"/>
  <c r="O5" i="1"/>
  <c r="P5" i="1"/>
  <c r="N6" i="1"/>
  <c r="O6" i="1"/>
  <c r="P6" i="1"/>
  <c r="N7" i="1"/>
  <c r="O7" i="1"/>
  <c r="P7" i="1"/>
  <c r="N8" i="1"/>
  <c r="O8" i="1"/>
  <c r="P8" i="1"/>
  <c r="N9" i="1"/>
  <c r="O9" i="1"/>
  <c r="P9" i="1"/>
  <c r="N10" i="1"/>
  <c r="O10" i="1"/>
  <c r="P10" i="1"/>
  <c r="N11" i="1"/>
  <c r="O11" i="1"/>
  <c r="P11" i="1"/>
  <c r="N12" i="1"/>
  <c r="O12" i="1"/>
  <c r="P12" i="1"/>
  <c r="N13" i="1"/>
  <c r="O13" i="1"/>
  <c r="P13" i="1"/>
  <c r="N14" i="1"/>
  <c r="O14" i="1"/>
  <c r="P14" i="1"/>
  <c r="N15" i="1"/>
  <c r="O15" i="1"/>
  <c r="P15" i="1"/>
  <c r="N16" i="1"/>
  <c r="O16" i="1"/>
  <c r="P16" i="1"/>
  <c r="N17" i="1"/>
  <c r="O17" i="1"/>
  <c r="P17" i="1"/>
  <c r="N18" i="1"/>
  <c r="O18" i="1"/>
  <c r="P18" i="1"/>
  <c r="N19" i="1"/>
  <c r="O19" i="1"/>
  <c r="P19" i="1"/>
  <c r="N20" i="1"/>
  <c r="O20" i="1"/>
  <c r="P20" i="1"/>
  <c r="N21" i="1"/>
  <c r="O21" i="1"/>
  <c r="P21" i="1"/>
  <c r="N22" i="1"/>
  <c r="O22" i="1"/>
  <c r="P22" i="1"/>
  <c r="N23" i="1"/>
  <c r="O23" i="1"/>
  <c r="P23" i="1"/>
  <c r="N24" i="1"/>
  <c r="O24" i="1"/>
  <c r="P24" i="1"/>
  <c r="N25" i="1"/>
  <c r="O25" i="1"/>
  <c r="P25" i="1"/>
  <c r="N26" i="1"/>
  <c r="O26" i="1"/>
  <c r="P26" i="1"/>
  <c r="N27" i="1"/>
  <c r="O27" i="1"/>
  <c r="P27" i="1"/>
  <c r="N28" i="1"/>
  <c r="O28" i="1"/>
  <c r="P28" i="1"/>
  <c r="N29" i="1"/>
  <c r="O29" i="1"/>
  <c r="P29" i="1"/>
  <c r="N30" i="1"/>
  <c r="O30" i="1"/>
  <c r="P30" i="1"/>
  <c r="N31" i="1"/>
  <c r="O31" i="1"/>
  <c r="P31" i="1"/>
  <c r="N32" i="1"/>
  <c r="O32" i="1"/>
  <c r="P32" i="1"/>
  <c r="N33" i="1"/>
  <c r="O33" i="1"/>
  <c r="P33" i="1"/>
  <c r="N34" i="1"/>
  <c r="O34" i="1"/>
  <c r="P34" i="1"/>
  <c r="N35" i="1"/>
  <c r="O35" i="1"/>
  <c r="P35" i="1"/>
  <c r="N36" i="1"/>
  <c r="O36" i="1"/>
  <c r="P36" i="1"/>
  <c r="N37" i="1"/>
  <c r="O37" i="1"/>
  <c r="P37" i="1"/>
  <c r="N2" i="1"/>
  <c r="O2" i="1"/>
  <c r="P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2" i="1"/>
  <c r="N1" i="1"/>
  <c r="O1" i="1"/>
  <c r="P1" i="1"/>
  <c r="M1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2" i="1"/>
  <c r="I1" i="1"/>
  <c r="J1" i="1"/>
  <c r="K1" i="1"/>
  <c r="H1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2" i="1"/>
</calcChain>
</file>

<file path=xl/sharedStrings.xml><?xml version="1.0" encoding="utf-8"?>
<sst xmlns="http://schemas.openxmlformats.org/spreadsheetml/2006/main" count="42" uniqueCount="15">
  <si>
    <t>Filename</t>
  </si>
  <si>
    <t>npix_FBP_image</t>
  </si>
  <si>
    <t>FWHM_x</t>
  </si>
  <si>
    <t>FWTM_x</t>
  </si>
  <si>
    <t>FWHM_y</t>
  </si>
  <si>
    <t xml:space="preserve"> FWTM_y</t>
  </si>
  <si>
    <t>lin_src_9_32</t>
  </si>
  <si>
    <t>lin_src_9_23</t>
  </si>
  <si>
    <t>lin_src_9_16</t>
  </si>
  <si>
    <t>lin_src_17_32</t>
  </si>
  <si>
    <t>lin_src_17_23</t>
  </si>
  <si>
    <t>lin_src_17_16</t>
  </si>
  <si>
    <t>lin_src_25_32</t>
  </si>
  <si>
    <t>lin_src_25_23</t>
  </si>
  <si>
    <t>lin_src_25_16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</si>
</sst>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1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0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7"/>
  <sheetViews>
    <sheetView tabSelected="1" workbookViewId="0">
      <selection activeCell="T17" sqref="T17"/>
    </sheetView>
  </sheetViews>
  <sheetFormatPr defaultRowHeight="15" x14ac:dyDescent="0.25"/>
  <cols>
    <col min="1" max="1" width="18.7109375" customWidth="1"/>
    <col min="8" max="8" width="15.42578125" customWidth="1"/>
    <col min="9" max="9" width="14.85546875" customWidth="1"/>
    <col min="10" max="10" width="15.42578125" customWidth="1"/>
    <col min="11" max="11" width="16.85546875" customWidth="1"/>
    <col min="13" max="13" width="15.42578125" customWidth="1"/>
    <col min="14" max="15" width="14.7109375" customWidth="1"/>
    <col min="16" max="16" width="16.28515625" customWidth="1"/>
  </cols>
  <sheetData>
    <row r="1" spans="1:16" ht="15.75" thickBo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tr">
        <f>CONCATENATE("Best ",C1)</f>
        <v>Best FWHM_x</v>
      </c>
      <c r="I1" t="str">
        <f t="shared" ref="I1:K1" si="0">CONCATENATE("Best ",D1)</f>
        <v>Best FWTM_x</v>
      </c>
      <c r="J1" t="str">
        <f t="shared" si="0"/>
        <v>Best FWHM_y</v>
      </c>
      <c r="K1" t="str">
        <f t="shared" si="0"/>
        <v>Best  FWTM_y</v>
      </c>
      <c r="M1" t="str">
        <f>CONCATENATE("Worst ",C1)</f>
        <v>Worst FWHM_x</v>
      </c>
      <c r="N1" t="str">
        <f t="shared" ref="N1:P1" si="1">CONCATENATE("Worst ",D1)</f>
        <v>Worst FWTM_x</v>
      </c>
      <c r="O1" t="str">
        <f t="shared" si="1"/>
        <v>Worst FWHM_y</v>
      </c>
      <c r="P1" t="str">
        <f t="shared" si="1"/>
        <v>Worst  FWTM_y</v>
      </c>
    </row>
    <row r="2" spans="1:16" x14ac:dyDescent="0.25">
      <c r="A2" t="s">
        <v>6</v>
      </c>
      <c r="B2">
        <v>200</v>
      </c>
      <c r="C2">
        <v>6.3787133999999996</v>
      </c>
      <c r="D2">
        <v>27.908366000000001</v>
      </c>
      <c r="E2">
        <v>1.9497074999999999</v>
      </c>
      <c r="F2">
        <v>3.6522274000000001</v>
      </c>
      <c r="H2" s="2" t="str">
        <f>IF(C2=MIN(C$2:C$37),C2,"")</f>
        <v/>
      </c>
      <c r="I2" s="3" t="str">
        <f>IF(D2=MIN(D$2:D$37),D2,"")</f>
        <v/>
      </c>
      <c r="J2" s="3" t="str">
        <f>IF(E2=MIN(E$2:E$37),E2,"")</f>
        <v/>
      </c>
      <c r="K2" s="4" t="str">
        <f>IF(F2=MIN(F$2:F$37),F2,"")</f>
        <v/>
      </c>
      <c r="M2" s="2" t="str">
        <f>IF(C2=MAX(C$2:C$37),C2,"")</f>
        <v/>
      </c>
      <c r="N2" s="3" t="str">
        <f t="shared" ref="N2:P2" si="2">IF(D2=MAX(D$2:D$37),D2,"")</f>
        <v/>
      </c>
      <c r="O2" s="3" t="str">
        <f t="shared" si="2"/>
        <v/>
      </c>
      <c r="P2" s="4" t="str">
        <f t="shared" si="2"/>
        <v/>
      </c>
    </row>
    <row r="3" spans="1:16" x14ac:dyDescent="0.25">
      <c r="A3" t="s">
        <v>7</v>
      </c>
      <c r="B3">
        <v>200</v>
      </c>
      <c r="C3">
        <v>7.5177892999999996</v>
      </c>
      <c r="D3">
        <v>18.030598000000001</v>
      </c>
      <c r="E3">
        <v>2.4352184000000001</v>
      </c>
      <c r="F3">
        <v>3.7544016</v>
      </c>
      <c r="H3" s="5" t="str">
        <f t="shared" ref="H3:H37" si="3">IF(C3=MIN(C$2:C$37),C3,"")</f>
        <v/>
      </c>
      <c r="I3" s="6" t="str">
        <f t="shared" ref="I3:I37" si="4">IF(D3=MIN(D$2:D$37),D3,"")</f>
        <v/>
      </c>
      <c r="J3" s="6" t="str">
        <f t="shared" ref="J3:J37" si="5">IF(E3=MIN(E$2:E$37),E3,"")</f>
        <v/>
      </c>
      <c r="K3" s="7" t="str">
        <f t="shared" ref="K3:K37" si="6">IF(F3=MIN(F$2:F$37),F3,"")</f>
        <v/>
      </c>
      <c r="M3" s="5" t="str">
        <f t="shared" ref="M3:M37" si="7">IF(C3=MAX(C$2:C$37),C3,"")</f>
        <v/>
      </c>
      <c r="N3" s="6" t="str">
        <f t="shared" ref="N3:N37" si="8">IF(D3=MAX(D$2:D$37),D3,"")</f>
        <v/>
      </c>
      <c r="O3" s="6" t="str">
        <f t="shared" ref="O3:O37" si="9">IF(E3=MAX(E$2:E$37),E3,"")</f>
        <v/>
      </c>
      <c r="P3" s="7" t="str">
        <f t="shared" ref="P3:P37" si="10">IF(F3=MAX(F$2:F$37),F3,"")</f>
        <v/>
      </c>
    </row>
    <row r="4" spans="1:16" x14ac:dyDescent="0.25">
      <c r="A4" t="s">
        <v>8</v>
      </c>
      <c r="B4">
        <v>200</v>
      </c>
      <c r="C4">
        <v>4.949452</v>
      </c>
      <c r="D4">
        <v>15.352952999999999</v>
      </c>
      <c r="E4">
        <v>2.1394053</v>
      </c>
      <c r="F4">
        <v>3.6845938999999999</v>
      </c>
      <c r="H4" s="5" t="str">
        <f t="shared" si="3"/>
        <v/>
      </c>
      <c r="I4" s="6" t="str">
        <f t="shared" si="4"/>
        <v/>
      </c>
      <c r="J4" s="6" t="str">
        <f t="shared" si="5"/>
        <v/>
      </c>
      <c r="K4" s="7" t="str">
        <f t="shared" si="6"/>
        <v/>
      </c>
      <c r="M4" s="5" t="str">
        <f t="shared" si="7"/>
        <v/>
      </c>
      <c r="N4" s="6" t="str">
        <f t="shared" si="8"/>
        <v/>
      </c>
      <c r="O4" s="6" t="str">
        <f t="shared" si="9"/>
        <v/>
      </c>
      <c r="P4" s="7" t="str">
        <f t="shared" si="10"/>
        <v/>
      </c>
    </row>
    <row r="5" spans="1:16" x14ac:dyDescent="0.25">
      <c r="A5" t="s">
        <v>9</v>
      </c>
      <c r="B5">
        <v>200</v>
      </c>
      <c r="C5">
        <v>5.5179033000000004</v>
      </c>
      <c r="D5">
        <v>11.999332000000001</v>
      </c>
      <c r="E5">
        <v>1.5256871000000001</v>
      </c>
      <c r="F5">
        <v>2.7468265000000001</v>
      </c>
      <c r="H5" s="5" t="str">
        <f t="shared" si="3"/>
        <v/>
      </c>
      <c r="I5" s="6" t="str">
        <f t="shared" si="4"/>
        <v/>
      </c>
      <c r="J5" s="6" t="str">
        <f t="shared" si="5"/>
        <v/>
      </c>
      <c r="K5" s="7" t="str">
        <f t="shared" si="6"/>
        <v/>
      </c>
      <c r="M5" s="5" t="str">
        <f t="shared" si="7"/>
        <v/>
      </c>
      <c r="N5" s="6" t="str">
        <f t="shared" si="8"/>
        <v/>
      </c>
      <c r="O5" s="6" t="str">
        <f t="shared" si="9"/>
        <v/>
      </c>
      <c r="P5" s="7" t="str">
        <f t="shared" si="10"/>
        <v/>
      </c>
    </row>
    <row r="6" spans="1:16" x14ac:dyDescent="0.25">
      <c r="A6" t="s">
        <v>10</v>
      </c>
      <c r="B6">
        <v>200</v>
      </c>
      <c r="C6">
        <v>2.9150448</v>
      </c>
      <c r="D6">
        <v>6.6436403999999998</v>
      </c>
      <c r="E6">
        <v>7.6703137000000003</v>
      </c>
      <c r="F6">
        <v>13.894959999999999</v>
      </c>
      <c r="H6" s="5" t="str">
        <f t="shared" si="3"/>
        <v/>
      </c>
      <c r="I6" s="6" t="str">
        <f t="shared" si="4"/>
        <v/>
      </c>
      <c r="J6" s="6" t="str">
        <f t="shared" si="5"/>
        <v/>
      </c>
      <c r="K6" s="7" t="str">
        <f t="shared" si="6"/>
        <v/>
      </c>
      <c r="M6" s="5" t="str">
        <f t="shared" si="7"/>
        <v/>
      </c>
      <c r="N6" s="6" t="str">
        <f t="shared" si="8"/>
        <v/>
      </c>
      <c r="O6" s="6">
        <f t="shared" si="9"/>
        <v>7.6703137000000003</v>
      </c>
      <c r="P6" s="7">
        <f t="shared" si="10"/>
        <v>13.894959999999999</v>
      </c>
    </row>
    <row r="7" spans="1:16" x14ac:dyDescent="0.25">
      <c r="A7" t="s">
        <v>11</v>
      </c>
      <c r="B7">
        <v>200</v>
      </c>
      <c r="C7">
        <v>7.0422608000000002</v>
      </c>
      <c r="D7">
        <v>15.251204</v>
      </c>
      <c r="E7">
        <v>2.5004179999999998</v>
      </c>
      <c r="F7">
        <v>3.5257063999999998</v>
      </c>
      <c r="H7" s="5" t="str">
        <f t="shared" si="3"/>
        <v/>
      </c>
      <c r="I7" s="6" t="str">
        <f t="shared" si="4"/>
        <v/>
      </c>
      <c r="J7" s="6" t="str">
        <f t="shared" si="5"/>
        <v/>
      </c>
      <c r="K7" s="7" t="str">
        <f t="shared" si="6"/>
        <v/>
      </c>
      <c r="M7" s="5" t="str">
        <f t="shared" si="7"/>
        <v/>
      </c>
      <c r="N7" s="6" t="str">
        <f t="shared" si="8"/>
        <v/>
      </c>
      <c r="O7" s="6" t="str">
        <f t="shared" si="9"/>
        <v/>
      </c>
      <c r="P7" s="7" t="str">
        <f t="shared" si="10"/>
        <v/>
      </c>
    </row>
    <row r="8" spans="1:16" x14ac:dyDescent="0.25">
      <c r="A8" t="s">
        <v>12</v>
      </c>
      <c r="B8">
        <v>200</v>
      </c>
      <c r="C8">
        <v>4.4310599000000002</v>
      </c>
      <c r="D8">
        <v>21.038529</v>
      </c>
      <c r="E8">
        <v>2.0224329000000001</v>
      </c>
      <c r="F8">
        <v>3.7832818000000001</v>
      </c>
      <c r="H8" s="5" t="str">
        <f t="shared" si="3"/>
        <v/>
      </c>
      <c r="I8" s="6" t="str">
        <f t="shared" si="4"/>
        <v/>
      </c>
      <c r="J8" s="6" t="str">
        <f t="shared" si="5"/>
        <v/>
      </c>
      <c r="K8" s="7" t="str">
        <f t="shared" si="6"/>
        <v/>
      </c>
      <c r="M8" s="5" t="str">
        <f t="shared" si="7"/>
        <v/>
      </c>
      <c r="N8" s="6" t="str">
        <f t="shared" si="8"/>
        <v/>
      </c>
      <c r="O8" s="6" t="str">
        <f t="shared" si="9"/>
        <v/>
      </c>
      <c r="P8" s="7" t="str">
        <f t="shared" si="10"/>
        <v/>
      </c>
    </row>
    <row r="9" spans="1:16" x14ac:dyDescent="0.25">
      <c r="A9" t="s">
        <v>13</v>
      </c>
      <c r="B9">
        <v>200</v>
      </c>
      <c r="C9">
        <v>7.7853637000000004</v>
      </c>
      <c r="D9">
        <v>18.240113999999998</v>
      </c>
      <c r="E9">
        <v>2.0207975</v>
      </c>
      <c r="F9">
        <v>3.5692338000000001</v>
      </c>
      <c r="H9" s="5" t="str">
        <f t="shared" si="3"/>
        <v/>
      </c>
      <c r="I9" s="6" t="str">
        <f t="shared" si="4"/>
        <v/>
      </c>
      <c r="J9" s="6" t="str">
        <f t="shared" si="5"/>
        <v/>
      </c>
      <c r="K9" s="7" t="str">
        <f t="shared" si="6"/>
        <v/>
      </c>
      <c r="M9" s="5">
        <f t="shared" si="7"/>
        <v>7.7853637000000004</v>
      </c>
      <c r="N9" s="6" t="str">
        <f t="shared" si="8"/>
        <v/>
      </c>
      <c r="O9" s="6" t="str">
        <f t="shared" si="9"/>
        <v/>
      </c>
      <c r="P9" s="7" t="str">
        <f t="shared" si="10"/>
        <v/>
      </c>
    </row>
    <row r="10" spans="1:16" s="1" customFormat="1" x14ac:dyDescent="0.25">
      <c r="A10" s="1" t="s">
        <v>14</v>
      </c>
      <c r="B10" s="1">
        <v>200</v>
      </c>
      <c r="C10" s="1">
        <v>4.4459023999999996</v>
      </c>
      <c r="D10" s="1">
        <v>15.940860000000001</v>
      </c>
      <c r="E10" s="1">
        <v>1.9963785999999999</v>
      </c>
      <c r="F10" s="1">
        <v>3.5565753</v>
      </c>
      <c r="H10" s="5" t="str">
        <f t="shared" si="3"/>
        <v/>
      </c>
      <c r="I10" s="6" t="str">
        <f t="shared" si="4"/>
        <v/>
      </c>
      <c r="J10" s="6" t="str">
        <f t="shared" si="5"/>
        <v/>
      </c>
      <c r="K10" s="7" t="str">
        <f t="shared" si="6"/>
        <v/>
      </c>
      <c r="M10" s="5" t="str">
        <f t="shared" si="7"/>
        <v/>
      </c>
      <c r="N10" s="6" t="str">
        <f t="shared" si="8"/>
        <v/>
      </c>
      <c r="O10" s="6" t="str">
        <f t="shared" si="9"/>
        <v/>
      </c>
      <c r="P10" s="7" t="str">
        <f t="shared" si="10"/>
        <v/>
      </c>
    </row>
    <row r="11" spans="1:16" x14ac:dyDescent="0.25">
      <c r="A11" t="s">
        <v>6</v>
      </c>
      <c r="B11">
        <v>300</v>
      </c>
      <c r="C11">
        <v>3.6743513999999999</v>
      </c>
      <c r="D11">
        <v>22.931248</v>
      </c>
      <c r="E11">
        <v>1.3115760999999999</v>
      </c>
      <c r="F11">
        <v>2.4865778000000001</v>
      </c>
      <c r="H11" s="5" t="str">
        <f t="shared" si="3"/>
        <v/>
      </c>
      <c r="I11" s="6" t="str">
        <f t="shared" si="4"/>
        <v/>
      </c>
      <c r="J11" s="6" t="str">
        <f t="shared" si="5"/>
        <v/>
      </c>
      <c r="K11" s="7" t="str">
        <f t="shared" si="6"/>
        <v/>
      </c>
      <c r="M11" s="5" t="str">
        <f t="shared" si="7"/>
        <v/>
      </c>
      <c r="N11" s="6" t="str">
        <f t="shared" si="8"/>
        <v/>
      </c>
      <c r="O11" s="6" t="str">
        <f t="shared" si="9"/>
        <v/>
      </c>
      <c r="P11" s="7" t="str">
        <f t="shared" si="10"/>
        <v/>
      </c>
    </row>
    <row r="12" spans="1:16" x14ac:dyDescent="0.25">
      <c r="A12" t="s">
        <v>7</v>
      </c>
      <c r="B12">
        <v>300</v>
      </c>
      <c r="C12">
        <v>6.0337481999999998</v>
      </c>
      <c r="D12">
        <v>15.552638999999999</v>
      </c>
      <c r="E12">
        <v>1.3121392999999999</v>
      </c>
      <c r="F12">
        <v>2.463333</v>
      </c>
      <c r="H12" s="5" t="str">
        <f t="shared" si="3"/>
        <v/>
      </c>
      <c r="I12" s="6" t="str">
        <f t="shared" si="4"/>
        <v/>
      </c>
      <c r="J12" s="6" t="str">
        <f t="shared" si="5"/>
        <v/>
      </c>
      <c r="K12" s="7" t="str">
        <f t="shared" si="6"/>
        <v/>
      </c>
      <c r="M12" s="5" t="str">
        <f t="shared" si="7"/>
        <v/>
      </c>
      <c r="N12" s="6" t="str">
        <f t="shared" si="8"/>
        <v/>
      </c>
      <c r="O12" s="6" t="str">
        <f t="shared" si="9"/>
        <v/>
      </c>
      <c r="P12" s="7" t="str">
        <f t="shared" si="10"/>
        <v/>
      </c>
    </row>
    <row r="13" spans="1:16" x14ac:dyDescent="0.25">
      <c r="A13" t="s">
        <v>8</v>
      </c>
      <c r="B13">
        <v>300</v>
      </c>
      <c r="C13">
        <v>3.7587101999999999</v>
      </c>
      <c r="D13">
        <v>19.812846</v>
      </c>
      <c r="E13">
        <v>1.4078856</v>
      </c>
      <c r="F13">
        <v>2.6357949999999999</v>
      </c>
      <c r="H13" s="5" t="str">
        <f t="shared" si="3"/>
        <v/>
      </c>
      <c r="I13" s="6" t="str">
        <f t="shared" si="4"/>
        <v/>
      </c>
      <c r="J13" s="6" t="str">
        <f t="shared" si="5"/>
        <v/>
      </c>
      <c r="K13" s="7" t="str">
        <f t="shared" si="6"/>
        <v/>
      </c>
      <c r="M13" s="5" t="str">
        <f t="shared" si="7"/>
        <v/>
      </c>
      <c r="N13" s="6" t="str">
        <f t="shared" si="8"/>
        <v/>
      </c>
      <c r="O13" s="6" t="str">
        <f t="shared" si="9"/>
        <v/>
      </c>
      <c r="P13" s="7" t="str">
        <f t="shared" si="10"/>
        <v/>
      </c>
    </row>
    <row r="14" spans="1:16" x14ac:dyDescent="0.25">
      <c r="A14" t="s">
        <v>9</v>
      </c>
      <c r="B14">
        <v>300</v>
      </c>
      <c r="C14">
        <v>4.7664346999999996</v>
      </c>
      <c r="D14">
        <v>13.337804</v>
      </c>
      <c r="E14">
        <v>1.2819358000000001</v>
      </c>
      <c r="F14">
        <v>2.3814275999999999</v>
      </c>
      <c r="H14" s="5" t="str">
        <f t="shared" si="3"/>
        <v/>
      </c>
      <c r="I14" s="6" t="str">
        <f t="shared" si="4"/>
        <v/>
      </c>
      <c r="J14" s="6" t="str">
        <f t="shared" si="5"/>
        <v/>
      </c>
      <c r="K14" s="7" t="str">
        <f t="shared" si="6"/>
        <v/>
      </c>
      <c r="M14" s="5" t="str">
        <f t="shared" si="7"/>
        <v/>
      </c>
      <c r="N14" s="6" t="str">
        <f t="shared" si="8"/>
        <v/>
      </c>
      <c r="O14" s="6" t="str">
        <f t="shared" si="9"/>
        <v/>
      </c>
      <c r="P14" s="7" t="str">
        <f t="shared" si="10"/>
        <v/>
      </c>
    </row>
    <row r="15" spans="1:16" x14ac:dyDescent="0.25">
      <c r="A15" t="s">
        <v>10</v>
      </c>
      <c r="B15">
        <v>300</v>
      </c>
      <c r="C15">
        <v>2.9610983000000002</v>
      </c>
      <c r="D15">
        <v>4.4836989000000003</v>
      </c>
      <c r="E15">
        <v>4.7902734999999996</v>
      </c>
      <c r="F15">
        <v>10.9985</v>
      </c>
      <c r="H15" s="5" t="str">
        <f t="shared" si="3"/>
        <v/>
      </c>
      <c r="I15" s="6" t="str">
        <f t="shared" si="4"/>
        <v/>
      </c>
      <c r="J15" s="6" t="str">
        <f t="shared" si="5"/>
        <v/>
      </c>
      <c r="K15" s="7" t="str">
        <f t="shared" si="6"/>
        <v/>
      </c>
      <c r="M15" s="5" t="str">
        <f t="shared" si="7"/>
        <v/>
      </c>
      <c r="N15" s="6" t="str">
        <f t="shared" si="8"/>
        <v/>
      </c>
      <c r="O15" s="6" t="str">
        <f t="shared" si="9"/>
        <v/>
      </c>
      <c r="P15" s="7" t="str">
        <f t="shared" si="10"/>
        <v/>
      </c>
    </row>
    <row r="16" spans="1:16" x14ac:dyDescent="0.25">
      <c r="A16" t="s">
        <v>11</v>
      </c>
      <c r="B16">
        <v>300</v>
      </c>
      <c r="C16">
        <v>4.1571065000000003</v>
      </c>
      <c r="D16">
        <v>20.596032000000001</v>
      </c>
      <c r="E16">
        <v>1.4810996999999999</v>
      </c>
      <c r="F16">
        <v>2.4108844999999999</v>
      </c>
      <c r="H16" s="5" t="str">
        <f t="shared" si="3"/>
        <v/>
      </c>
      <c r="I16" s="6" t="str">
        <f t="shared" si="4"/>
        <v/>
      </c>
      <c r="J16" s="6" t="str">
        <f t="shared" si="5"/>
        <v/>
      </c>
      <c r="K16" s="7" t="str">
        <f t="shared" si="6"/>
        <v/>
      </c>
      <c r="M16" s="5" t="str">
        <f t="shared" si="7"/>
        <v/>
      </c>
      <c r="N16" s="6" t="str">
        <f t="shared" si="8"/>
        <v/>
      </c>
      <c r="O16" s="6" t="str">
        <f t="shared" si="9"/>
        <v/>
      </c>
      <c r="P16" s="7" t="str">
        <f t="shared" si="10"/>
        <v/>
      </c>
    </row>
    <row r="17" spans="1:16" x14ac:dyDescent="0.25">
      <c r="A17" t="s">
        <v>12</v>
      </c>
      <c r="B17">
        <v>300</v>
      </c>
      <c r="C17">
        <v>4.2227905000000003</v>
      </c>
      <c r="D17">
        <v>15.597994999999999</v>
      </c>
      <c r="E17">
        <v>1.6960317</v>
      </c>
      <c r="F17">
        <v>3.1367039999999999</v>
      </c>
      <c r="H17" s="5" t="str">
        <f t="shared" si="3"/>
        <v/>
      </c>
      <c r="I17" s="6" t="str">
        <f t="shared" si="4"/>
        <v/>
      </c>
      <c r="J17" s="6" t="str">
        <f t="shared" si="5"/>
        <v/>
      </c>
      <c r="K17" s="7" t="str">
        <f t="shared" si="6"/>
        <v/>
      </c>
      <c r="M17" s="5" t="str">
        <f t="shared" si="7"/>
        <v/>
      </c>
      <c r="N17" s="6" t="str">
        <f t="shared" si="8"/>
        <v/>
      </c>
      <c r="O17" s="6" t="str">
        <f t="shared" si="9"/>
        <v/>
      </c>
      <c r="P17" s="7" t="str">
        <f t="shared" si="10"/>
        <v/>
      </c>
    </row>
    <row r="18" spans="1:16" x14ac:dyDescent="0.25">
      <c r="A18" t="s">
        <v>13</v>
      </c>
      <c r="B18">
        <v>300</v>
      </c>
      <c r="C18">
        <v>4.6461994999999998</v>
      </c>
      <c r="D18">
        <v>14.186954</v>
      </c>
      <c r="E18">
        <v>1.7140419</v>
      </c>
      <c r="F18">
        <v>2.9474643999999999</v>
      </c>
      <c r="H18" s="5" t="str">
        <f t="shared" si="3"/>
        <v/>
      </c>
      <c r="I18" s="6" t="str">
        <f t="shared" si="4"/>
        <v/>
      </c>
      <c r="J18" s="6" t="str">
        <f t="shared" si="5"/>
        <v/>
      </c>
      <c r="K18" s="7" t="str">
        <f t="shared" si="6"/>
        <v/>
      </c>
      <c r="M18" s="5" t="str">
        <f t="shared" si="7"/>
        <v/>
      </c>
      <c r="N18" s="6" t="str">
        <f t="shared" si="8"/>
        <v/>
      </c>
      <c r="O18" s="6" t="str">
        <f t="shared" si="9"/>
        <v/>
      </c>
      <c r="P18" s="7" t="str">
        <f t="shared" si="10"/>
        <v/>
      </c>
    </row>
    <row r="19" spans="1:16" s="1" customFormat="1" x14ac:dyDescent="0.25">
      <c r="A19" s="1" t="s">
        <v>14</v>
      </c>
      <c r="B19" s="1">
        <v>300</v>
      </c>
      <c r="C19" s="1">
        <v>3.556289</v>
      </c>
      <c r="D19" s="1">
        <v>12.941792</v>
      </c>
      <c r="E19" s="1">
        <v>1.3214181</v>
      </c>
      <c r="F19" s="1">
        <v>2.5772455000000001</v>
      </c>
      <c r="H19" s="5" t="str">
        <f t="shared" si="3"/>
        <v/>
      </c>
      <c r="I19" s="6" t="str">
        <f t="shared" si="4"/>
        <v/>
      </c>
      <c r="J19" s="6" t="str">
        <f t="shared" si="5"/>
        <v/>
      </c>
      <c r="K19" s="7" t="str">
        <f t="shared" si="6"/>
        <v/>
      </c>
      <c r="M19" s="5" t="str">
        <f t="shared" si="7"/>
        <v/>
      </c>
      <c r="N19" s="6" t="str">
        <f t="shared" si="8"/>
        <v/>
      </c>
      <c r="O19" s="6" t="str">
        <f t="shared" si="9"/>
        <v/>
      </c>
      <c r="P19" s="7" t="str">
        <f t="shared" si="10"/>
        <v/>
      </c>
    </row>
    <row r="20" spans="1:16" x14ac:dyDescent="0.25">
      <c r="A20" t="s">
        <v>6</v>
      </c>
      <c r="B20">
        <v>400</v>
      </c>
      <c r="C20">
        <v>1.9598726</v>
      </c>
      <c r="D20">
        <v>16.085889000000002</v>
      </c>
      <c r="E20">
        <v>0.90429059000000001</v>
      </c>
      <c r="F20">
        <v>1.6499381</v>
      </c>
      <c r="H20" s="5" t="str">
        <f t="shared" si="3"/>
        <v/>
      </c>
      <c r="I20" s="6" t="str">
        <f t="shared" si="4"/>
        <v/>
      </c>
      <c r="J20" s="6" t="str">
        <f t="shared" si="5"/>
        <v/>
      </c>
      <c r="K20" s="7" t="str">
        <f t="shared" si="6"/>
        <v/>
      </c>
      <c r="M20" s="5" t="str">
        <f t="shared" si="7"/>
        <v/>
      </c>
      <c r="N20" s="6" t="str">
        <f t="shared" si="8"/>
        <v/>
      </c>
      <c r="O20" s="6" t="str">
        <f t="shared" si="9"/>
        <v/>
      </c>
      <c r="P20" s="7" t="str">
        <f t="shared" si="10"/>
        <v/>
      </c>
    </row>
    <row r="21" spans="1:16" x14ac:dyDescent="0.25">
      <c r="A21" t="s">
        <v>7</v>
      </c>
      <c r="B21">
        <v>400</v>
      </c>
      <c r="C21">
        <v>3.0093231999999999</v>
      </c>
      <c r="D21">
        <v>16.732645999999999</v>
      </c>
      <c r="E21">
        <v>1.0084010000000001</v>
      </c>
      <c r="F21">
        <v>2.2515320000000001</v>
      </c>
      <c r="H21" s="5" t="str">
        <f t="shared" si="3"/>
        <v/>
      </c>
      <c r="I21" s="6" t="str">
        <f t="shared" si="4"/>
        <v/>
      </c>
      <c r="J21" s="6" t="str">
        <f t="shared" si="5"/>
        <v/>
      </c>
      <c r="K21" s="7" t="str">
        <f t="shared" si="6"/>
        <v/>
      </c>
      <c r="M21" s="5" t="str">
        <f t="shared" si="7"/>
        <v/>
      </c>
      <c r="N21" s="6" t="str">
        <f t="shared" si="8"/>
        <v/>
      </c>
      <c r="O21" s="6" t="str">
        <f t="shared" si="9"/>
        <v/>
      </c>
      <c r="P21" s="7" t="str">
        <f t="shared" si="10"/>
        <v/>
      </c>
    </row>
    <row r="22" spans="1:16" x14ac:dyDescent="0.25">
      <c r="A22" t="s">
        <v>8</v>
      </c>
      <c r="B22">
        <v>400</v>
      </c>
      <c r="C22">
        <v>1.8627813</v>
      </c>
      <c r="D22">
        <v>134.65244000000001</v>
      </c>
      <c r="E22">
        <v>4.4139169999999996</v>
      </c>
      <c r="F22">
        <v>9.7862200999999995</v>
      </c>
      <c r="H22" s="5" t="str">
        <f t="shared" si="3"/>
        <v/>
      </c>
      <c r="I22" s="6" t="str">
        <f t="shared" si="4"/>
        <v/>
      </c>
      <c r="J22" s="6" t="str">
        <f t="shared" si="5"/>
        <v/>
      </c>
      <c r="K22" s="7" t="str">
        <f t="shared" si="6"/>
        <v/>
      </c>
      <c r="M22" s="5" t="str">
        <f t="shared" si="7"/>
        <v/>
      </c>
      <c r="N22" s="6" t="str">
        <f t="shared" si="8"/>
        <v/>
      </c>
      <c r="O22" s="6" t="str">
        <f t="shared" si="9"/>
        <v/>
      </c>
      <c r="P22" s="7" t="str">
        <f t="shared" si="10"/>
        <v/>
      </c>
    </row>
    <row r="23" spans="1:16" x14ac:dyDescent="0.25">
      <c r="A23" t="s">
        <v>9</v>
      </c>
      <c r="B23">
        <v>400</v>
      </c>
      <c r="C23">
        <v>3.8154164000000002</v>
      </c>
      <c r="D23">
        <v>15.329388</v>
      </c>
      <c r="E23">
        <v>0.94255999000000001</v>
      </c>
      <c r="F23">
        <v>1.7762738</v>
      </c>
      <c r="H23" s="5" t="str">
        <f t="shared" si="3"/>
        <v/>
      </c>
      <c r="I23" s="6" t="str">
        <f t="shared" si="4"/>
        <v/>
      </c>
      <c r="J23" s="6" t="str">
        <f t="shared" si="5"/>
        <v/>
      </c>
      <c r="K23" s="7" t="str">
        <f t="shared" si="6"/>
        <v/>
      </c>
      <c r="M23" s="5" t="str">
        <f t="shared" si="7"/>
        <v/>
      </c>
      <c r="N23" s="6" t="str">
        <f t="shared" si="8"/>
        <v/>
      </c>
      <c r="O23" s="6" t="str">
        <f t="shared" si="9"/>
        <v/>
      </c>
      <c r="P23" s="7" t="str">
        <f t="shared" si="10"/>
        <v/>
      </c>
    </row>
    <row r="24" spans="1:16" x14ac:dyDescent="0.25">
      <c r="A24" t="s">
        <v>10</v>
      </c>
      <c r="B24">
        <v>400</v>
      </c>
      <c r="C24">
        <v>2.5976818000000002</v>
      </c>
      <c r="D24">
        <v>6.6005832</v>
      </c>
      <c r="E24">
        <v>3.7390170999999999</v>
      </c>
      <c r="F24">
        <v>7.9275520000000004</v>
      </c>
      <c r="H24" s="5" t="str">
        <f t="shared" si="3"/>
        <v/>
      </c>
      <c r="I24" s="6" t="str">
        <f t="shared" si="4"/>
        <v/>
      </c>
      <c r="J24" s="6" t="str">
        <f t="shared" si="5"/>
        <v/>
      </c>
      <c r="K24" s="7" t="str">
        <f t="shared" si="6"/>
        <v/>
      </c>
      <c r="M24" s="5" t="str">
        <f t="shared" si="7"/>
        <v/>
      </c>
      <c r="N24" s="6" t="str">
        <f t="shared" si="8"/>
        <v/>
      </c>
      <c r="O24" s="6" t="str">
        <f t="shared" si="9"/>
        <v/>
      </c>
      <c r="P24" s="7" t="str">
        <f t="shared" si="10"/>
        <v/>
      </c>
    </row>
    <row r="25" spans="1:16" x14ac:dyDescent="0.25">
      <c r="A25" t="s">
        <v>11</v>
      </c>
      <c r="B25">
        <v>400</v>
      </c>
      <c r="C25">
        <v>3.4535453999999999</v>
      </c>
      <c r="D25">
        <v>13.788287</v>
      </c>
      <c r="E25">
        <v>1.0680768</v>
      </c>
      <c r="F25">
        <v>1.8893873000000001</v>
      </c>
      <c r="H25" s="5" t="str">
        <f t="shared" si="3"/>
        <v/>
      </c>
      <c r="I25" s="6" t="str">
        <f t="shared" si="4"/>
        <v/>
      </c>
      <c r="J25" s="6" t="str">
        <f t="shared" si="5"/>
        <v/>
      </c>
      <c r="K25" s="7" t="str">
        <f t="shared" si="6"/>
        <v/>
      </c>
      <c r="M25" s="5" t="str">
        <f t="shared" si="7"/>
        <v/>
      </c>
      <c r="N25" s="6" t="str">
        <f t="shared" si="8"/>
        <v/>
      </c>
      <c r="O25" s="6" t="str">
        <f t="shared" si="9"/>
        <v/>
      </c>
      <c r="P25" s="7" t="str">
        <f t="shared" si="10"/>
        <v/>
      </c>
    </row>
    <row r="26" spans="1:16" x14ac:dyDescent="0.25">
      <c r="A26" t="s">
        <v>12</v>
      </c>
      <c r="B26">
        <v>400</v>
      </c>
      <c r="C26">
        <v>2.6284084000000001</v>
      </c>
      <c r="D26">
        <v>9.6587107000000003</v>
      </c>
      <c r="E26">
        <v>1.0615317</v>
      </c>
      <c r="F26">
        <v>2.1024402000000002</v>
      </c>
      <c r="H26" s="5" t="str">
        <f t="shared" si="3"/>
        <v/>
      </c>
      <c r="I26" s="6" t="str">
        <f t="shared" si="4"/>
        <v/>
      </c>
      <c r="J26" s="6" t="str">
        <f t="shared" si="5"/>
        <v/>
      </c>
      <c r="K26" s="7" t="str">
        <f t="shared" si="6"/>
        <v/>
      </c>
      <c r="M26" s="5" t="str">
        <f t="shared" si="7"/>
        <v/>
      </c>
      <c r="N26" s="6" t="str">
        <f t="shared" si="8"/>
        <v/>
      </c>
      <c r="O26" s="6" t="str">
        <f t="shared" si="9"/>
        <v/>
      </c>
      <c r="P26" s="7" t="str">
        <f t="shared" si="10"/>
        <v/>
      </c>
    </row>
    <row r="27" spans="1:16" x14ac:dyDescent="0.25">
      <c r="A27" t="s">
        <v>13</v>
      </c>
      <c r="B27">
        <v>400</v>
      </c>
      <c r="C27">
        <v>3.9081302</v>
      </c>
      <c r="D27">
        <v>145.56449000000001</v>
      </c>
      <c r="E27">
        <v>5.3398515</v>
      </c>
      <c r="F27">
        <v>10.636649</v>
      </c>
      <c r="H27" s="5" t="str">
        <f t="shared" si="3"/>
        <v/>
      </c>
      <c r="I27" s="6" t="str">
        <f t="shared" si="4"/>
        <v/>
      </c>
      <c r="J27" s="6" t="str">
        <f t="shared" si="5"/>
        <v/>
      </c>
      <c r="K27" s="7" t="str">
        <f t="shared" si="6"/>
        <v/>
      </c>
      <c r="M27" s="5" t="str">
        <f t="shared" si="7"/>
        <v/>
      </c>
      <c r="N27" s="6" t="str">
        <f t="shared" si="8"/>
        <v/>
      </c>
      <c r="O27" s="6" t="str">
        <f t="shared" si="9"/>
        <v/>
      </c>
      <c r="P27" s="7" t="str">
        <f t="shared" si="10"/>
        <v/>
      </c>
    </row>
    <row r="28" spans="1:16" s="1" customFormat="1" x14ac:dyDescent="0.25">
      <c r="A28" s="1" t="s">
        <v>14</v>
      </c>
      <c r="B28" s="1">
        <v>400</v>
      </c>
      <c r="C28" s="1">
        <v>3.1151404999999999</v>
      </c>
      <c r="D28" s="1">
        <v>30.647227999999998</v>
      </c>
      <c r="E28" s="1">
        <v>1.5362389999999999</v>
      </c>
      <c r="F28" s="1">
        <v>2.4950999999999999</v>
      </c>
      <c r="H28" s="5" t="str">
        <f t="shared" si="3"/>
        <v/>
      </c>
      <c r="I28" s="6" t="str">
        <f t="shared" si="4"/>
        <v/>
      </c>
      <c r="J28" s="6" t="str">
        <f t="shared" si="5"/>
        <v/>
      </c>
      <c r="K28" s="7" t="str">
        <f t="shared" si="6"/>
        <v/>
      </c>
      <c r="M28" s="5" t="str">
        <f t="shared" si="7"/>
        <v/>
      </c>
      <c r="N28" s="6" t="str">
        <f t="shared" si="8"/>
        <v/>
      </c>
      <c r="O28" s="6" t="str">
        <f t="shared" si="9"/>
        <v/>
      </c>
      <c r="P28" s="7" t="str">
        <f t="shared" si="10"/>
        <v/>
      </c>
    </row>
    <row r="29" spans="1:16" x14ac:dyDescent="0.25">
      <c r="A29" t="s">
        <v>6</v>
      </c>
      <c r="B29">
        <v>500</v>
      </c>
      <c r="C29">
        <v>3.1496401999999999</v>
      </c>
      <c r="D29">
        <v>186.4171</v>
      </c>
      <c r="E29">
        <v>4.5695940000000004</v>
      </c>
      <c r="F29">
        <v>8.6817937000000001</v>
      </c>
      <c r="H29" s="5" t="str">
        <f t="shared" si="3"/>
        <v/>
      </c>
      <c r="I29" s="6" t="str">
        <f t="shared" si="4"/>
        <v/>
      </c>
      <c r="J29" s="6" t="str">
        <f t="shared" si="5"/>
        <v/>
      </c>
      <c r="K29" s="7" t="str">
        <f t="shared" si="6"/>
        <v/>
      </c>
      <c r="M29" s="5" t="str">
        <f t="shared" si="7"/>
        <v/>
      </c>
      <c r="N29" s="6" t="str">
        <f t="shared" si="8"/>
        <v/>
      </c>
      <c r="O29" s="6" t="str">
        <f t="shared" si="9"/>
        <v/>
      </c>
      <c r="P29" s="7" t="str">
        <f t="shared" si="10"/>
        <v/>
      </c>
    </row>
    <row r="30" spans="1:16" x14ac:dyDescent="0.25">
      <c r="A30" t="s">
        <v>7</v>
      </c>
      <c r="B30">
        <v>500</v>
      </c>
      <c r="C30">
        <v>2.6680016000000002</v>
      </c>
      <c r="D30">
        <v>227.35400999999999</v>
      </c>
      <c r="E30">
        <v>4.0977214999999996</v>
      </c>
      <c r="F30">
        <v>8.4783612999999995</v>
      </c>
      <c r="H30" s="5" t="str">
        <f t="shared" si="3"/>
        <v/>
      </c>
      <c r="I30" s="6" t="str">
        <f t="shared" si="4"/>
        <v/>
      </c>
      <c r="J30" s="6" t="str">
        <f t="shared" si="5"/>
        <v/>
      </c>
      <c r="K30" s="7" t="str">
        <f t="shared" si="6"/>
        <v/>
      </c>
      <c r="M30" s="5" t="str">
        <f t="shared" si="7"/>
        <v/>
      </c>
      <c r="N30" s="6">
        <f t="shared" si="8"/>
        <v>227.35400999999999</v>
      </c>
      <c r="O30" s="6" t="str">
        <f t="shared" si="9"/>
        <v/>
      </c>
      <c r="P30" s="7" t="str">
        <f t="shared" si="10"/>
        <v/>
      </c>
    </row>
    <row r="31" spans="1:16" x14ac:dyDescent="0.25">
      <c r="A31" t="s">
        <v>8</v>
      </c>
      <c r="B31">
        <v>500</v>
      </c>
      <c r="C31">
        <v>2.4658764</v>
      </c>
      <c r="D31">
        <v>16.127835999999999</v>
      </c>
      <c r="E31">
        <v>1.0851900000000001</v>
      </c>
      <c r="F31">
        <v>1.6859983000000001</v>
      </c>
      <c r="H31" s="5" t="str">
        <f t="shared" si="3"/>
        <v/>
      </c>
      <c r="I31" s="6" t="str">
        <f t="shared" si="4"/>
        <v/>
      </c>
      <c r="J31" s="6" t="str">
        <f t="shared" si="5"/>
        <v/>
      </c>
      <c r="K31" s="7" t="str">
        <f t="shared" si="6"/>
        <v/>
      </c>
      <c r="M31" s="5" t="str">
        <f t="shared" si="7"/>
        <v/>
      </c>
      <c r="N31" s="6" t="str">
        <f t="shared" si="8"/>
        <v/>
      </c>
      <c r="O31" s="6" t="str">
        <f t="shared" si="9"/>
        <v/>
      </c>
      <c r="P31" s="7" t="str">
        <f t="shared" si="10"/>
        <v/>
      </c>
    </row>
    <row r="32" spans="1:16" x14ac:dyDescent="0.25">
      <c r="A32" t="s">
        <v>9</v>
      </c>
      <c r="B32">
        <v>500</v>
      </c>
      <c r="C32">
        <v>1.9397268999999999</v>
      </c>
      <c r="D32">
        <v>133.14123000000001</v>
      </c>
      <c r="E32">
        <v>3.7689503000000002</v>
      </c>
      <c r="F32">
        <v>7.4482277000000003</v>
      </c>
      <c r="H32" s="5" t="str">
        <f t="shared" si="3"/>
        <v/>
      </c>
      <c r="I32" s="6" t="str">
        <f t="shared" si="4"/>
        <v/>
      </c>
      <c r="J32" s="6" t="str">
        <f t="shared" si="5"/>
        <v/>
      </c>
      <c r="K32" s="7" t="str">
        <f t="shared" si="6"/>
        <v/>
      </c>
      <c r="M32" s="5" t="str">
        <f t="shared" si="7"/>
        <v/>
      </c>
      <c r="N32" s="6" t="str">
        <f t="shared" si="8"/>
        <v/>
      </c>
      <c r="O32" s="6" t="str">
        <f t="shared" si="9"/>
        <v/>
      </c>
      <c r="P32" s="7" t="str">
        <f t="shared" si="10"/>
        <v/>
      </c>
    </row>
    <row r="33" spans="1:16" x14ac:dyDescent="0.25">
      <c r="A33" t="s">
        <v>10</v>
      </c>
      <c r="B33">
        <v>500</v>
      </c>
      <c r="C33">
        <v>2.0010352</v>
      </c>
      <c r="D33">
        <v>2.8492703000000001</v>
      </c>
      <c r="E33">
        <v>2.8063828000000002</v>
      </c>
      <c r="F33">
        <v>6.4700237999999999</v>
      </c>
      <c r="H33" s="5" t="str">
        <f t="shared" si="3"/>
        <v/>
      </c>
      <c r="I33" s="6">
        <f t="shared" si="4"/>
        <v>2.8492703000000001</v>
      </c>
      <c r="J33" s="6" t="str">
        <f t="shared" si="5"/>
        <v/>
      </c>
      <c r="K33" s="7" t="str">
        <f t="shared" si="6"/>
        <v/>
      </c>
      <c r="M33" s="5" t="str">
        <f t="shared" si="7"/>
        <v/>
      </c>
      <c r="N33" s="6" t="str">
        <f t="shared" si="8"/>
        <v/>
      </c>
      <c r="O33" s="6" t="str">
        <f t="shared" si="9"/>
        <v/>
      </c>
      <c r="P33" s="7" t="str">
        <f t="shared" si="10"/>
        <v/>
      </c>
    </row>
    <row r="34" spans="1:16" x14ac:dyDescent="0.25">
      <c r="A34" t="s">
        <v>11</v>
      </c>
      <c r="B34">
        <v>500</v>
      </c>
      <c r="C34">
        <v>3.1295312000000002</v>
      </c>
      <c r="D34">
        <v>9.2935783999999995</v>
      </c>
      <c r="E34">
        <v>0.71226725000000002</v>
      </c>
      <c r="F34">
        <v>1.3174954999999999</v>
      </c>
      <c r="H34" s="5" t="str">
        <f t="shared" si="3"/>
        <v/>
      </c>
      <c r="I34" s="6" t="str">
        <f t="shared" si="4"/>
        <v/>
      </c>
      <c r="J34" s="6">
        <f t="shared" si="5"/>
        <v>0.71226725000000002</v>
      </c>
      <c r="K34" s="7">
        <f t="shared" si="6"/>
        <v>1.3174954999999999</v>
      </c>
      <c r="M34" s="5" t="str">
        <f t="shared" si="7"/>
        <v/>
      </c>
      <c r="N34" s="6" t="str">
        <f t="shared" si="8"/>
        <v/>
      </c>
      <c r="O34" s="6" t="str">
        <f t="shared" si="9"/>
        <v/>
      </c>
      <c r="P34" s="7" t="str">
        <f t="shared" si="10"/>
        <v/>
      </c>
    </row>
    <row r="35" spans="1:16" x14ac:dyDescent="0.25">
      <c r="A35" t="s">
        <v>12</v>
      </c>
      <c r="B35">
        <v>500</v>
      </c>
      <c r="C35">
        <v>4.2232519999999996</v>
      </c>
      <c r="D35">
        <v>56.617333000000002</v>
      </c>
      <c r="E35">
        <v>1.0461834000000001</v>
      </c>
      <c r="F35">
        <v>1.9474315</v>
      </c>
      <c r="H35" s="5" t="str">
        <f t="shared" si="3"/>
        <v/>
      </c>
      <c r="I35" s="6" t="str">
        <f t="shared" si="4"/>
        <v/>
      </c>
      <c r="J35" s="6" t="str">
        <f t="shared" si="5"/>
        <v/>
      </c>
      <c r="K35" s="7" t="str">
        <f t="shared" si="6"/>
        <v/>
      </c>
      <c r="M35" s="5" t="str">
        <f t="shared" si="7"/>
        <v/>
      </c>
      <c r="N35" s="6" t="str">
        <f t="shared" si="8"/>
        <v/>
      </c>
      <c r="O35" s="6" t="str">
        <f t="shared" si="9"/>
        <v/>
      </c>
      <c r="P35" s="7" t="str">
        <f t="shared" si="10"/>
        <v/>
      </c>
    </row>
    <row r="36" spans="1:16" x14ac:dyDescent="0.25">
      <c r="A36" t="s">
        <v>13</v>
      </c>
      <c r="B36">
        <v>500</v>
      </c>
      <c r="C36">
        <v>3.7259095000000002</v>
      </c>
      <c r="D36">
        <v>9.5371693999999998</v>
      </c>
      <c r="E36">
        <v>1.1615633999999999</v>
      </c>
      <c r="F36">
        <v>1.8769895000000001</v>
      </c>
      <c r="H36" s="5" t="str">
        <f t="shared" si="3"/>
        <v/>
      </c>
      <c r="I36" s="6" t="str">
        <f t="shared" si="4"/>
        <v/>
      </c>
      <c r="J36" s="6" t="str">
        <f t="shared" si="5"/>
        <v/>
      </c>
      <c r="K36" s="7" t="str">
        <f t="shared" si="6"/>
        <v/>
      </c>
      <c r="M36" s="5" t="str">
        <f t="shared" si="7"/>
        <v/>
      </c>
      <c r="N36" s="6" t="str">
        <f t="shared" si="8"/>
        <v/>
      </c>
      <c r="O36" s="6" t="str">
        <f t="shared" si="9"/>
        <v/>
      </c>
      <c r="P36" s="7" t="str">
        <f t="shared" si="10"/>
        <v/>
      </c>
    </row>
    <row r="37" spans="1:16" s="1" customFormat="1" ht="15.75" thickBot="1" x14ac:dyDescent="0.3">
      <c r="A37" s="1" t="s">
        <v>14</v>
      </c>
      <c r="B37" s="1">
        <v>500</v>
      </c>
      <c r="C37" s="1">
        <v>1.6145494</v>
      </c>
      <c r="D37" s="1">
        <v>214.28182000000001</v>
      </c>
      <c r="E37" s="1">
        <v>4.3706309000000001</v>
      </c>
      <c r="F37" s="1">
        <v>8.4827180999999996</v>
      </c>
      <c r="H37" s="8">
        <f t="shared" si="3"/>
        <v>1.6145494</v>
      </c>
      <c r="I37" s="9" t="str">
        <f t="shared" si="4"/>
        <v/>
      </c>
      <c r="J37" s="9" t="str">
        <f t="shared" si="5"/>
        <v/>
      </c>
      <c r="K37" s="10" t="str">
        <f t="shared" si="6"/>
        <v/>
      </c>
      <c r="M37" s="8" t="str">
        <f t="shared" si="7"/>
        <v/>
      </c>
      <c r="N37" s="9" t="str">
        <f t="shared" si="8"/>
        <v/>
      </c>
      <c r="O37" s="9" t="str">
        <f t="shared" si="9"/>
        <v/>
      </c>
      <c r="P37" s="10" t="str">
        <f t="shared" si="10"/>
        <v/>
      </c>
    </row>
  </sheetData>
  <conditionalFormatting sqref="C2:F1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1:F1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0:F28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9:F3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Nuno</dc:creator>
  <cp:lastModifiedBy>Utilizador</cp:lastModifiedBy>
  <dcterms:created xsi:type="dcterms:W3CDTF">2024-07-28T21:55:26Z</dcterms:created>
  <dcterms:modified xsi:type="dcterms:W3CDTF">2024-07-28T22:30:12Z</dcterms:modified>
</cp:coreProperties>
</file>